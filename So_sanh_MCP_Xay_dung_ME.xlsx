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nhk\orca\projects\MCP Research\"/>
    </mc:Choice>
  </mc:AlternateContent>
  <xr:revisionPtr revIDLastSave="0" documentId="13_ncr:1_{0C3BD69C-7D7E-42D6-906F-7081B0806414}" xr6:coauthVersionLast="47" xr6:coauthVersionMax="47" xr10:uidLastSave="{00000000-0000-0000-0000-000000000000}"/>
  <bookViews>
    <workbookView xWindow="-108" yWindow="-108" windowWidth="23256" windowHeight="12576" activeTab="3" xr2:uid="{00000000-000D-0000-FFFF-FFFF00000000}"/>
  </bookViews>
  <sheets>
    <sheet name="Huong_dan" sheetId="1" r:id="rId1"/>
    <sheet name="So_sanh" sheetId="2" r:id="rId2"/>
    <sheet name="Xay_dung" sheetId="3" r:id="rId3"/>
    <sheet name="MEP" sheetId="5" r:id="rId4"/>
  </sheets>
  <definedNames>
    <definedName name="_xlnm._FilterDatabase" localSheetId="3" hidden="1">MEP!$A$5:$H$13</definedName>
    <definedName name="_xlnm._FilterDatabase" localSheetId="1" hidden="1">So_sanh!$A$4:$E$18</definedName>
    <definedName name="_xlnm._FilterDatabase" localSheetId="2" hidden="1">Xay_dung!$A$4:$I$11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5" l="1"/>
  <c r="E15" i="5"/>
  <c r="C15" i="5"/>
  <c r="G13" i="3"/>
  <c r="E13" i="3"/>
  <c r="C13" i="3"/>
</calcChain>
</file>

<file path=xl/sharedStrings.xml><?xml version="1.0" encoding="utf-8"?>
<sst xmlns="http://schemas.openxmlformats.org/spreadsheetml/2006/main" count="173" uniqueCount="162">
  <si>
    <t>SO SÁNH MCP CAD CHO XÂY DỰNG &amp; CƠ KHÍ (ME)</t>
  </si>
  <si>
    <t>Đối chiếu ba server có trong workspace; ưu tiên công việc CAD 2D/engineering, không xem đây là so sánh BIM hay phần mềm tính toán kết cấu.</t>
  </si>
  <si>
    <t>Mục</t>
  </si>
  <si>
    <t>Nội dung</t>
  </si>
  <si>
    <t>Phạm vi</t>
  </si>
  <si>
    <t>U-C4N AutoCAD MCP (snapshot local 1.6.0), TheWiseKape AutoCAD MCP v5.0 (checkout local), Slacker AutoCAD MCP (checkout local).</t>
  </si>
  <si>
    <t>Thang điểm</t>
  </si>
  <si>
    <t>1 = không thấy hỗ trợ chuyên biệt / rất hạn chế; 2 = chủ yếu thao tác CAD cơ bản; 3 = hỗ trợ một phần hoặc dùng công cụ chung; 4 = hỗ trợ tốt, có tính năng liên quan; 5 = có công cụ/chức năng chuyên biệt được tài liệu hóa. Điểm là đánh giá phù hợp tương đối, không phải benchmark tốc độ/chất lượng.</t>
  </si>
  <si>
    <t>Trọng số</t>
  </si>
  <si>
    <t>Mỗi tiêu chí có trọng số 1–5 theo mức quan trọng cho lĩnh vực. Điểm tổng hợp = trung bình có trọng số. Có thể chỉnh trọng số/điểm trong hai sheet lĩnh vực.</t>
  </si>
  <si>
    <t>Kết luận nhanh</t>
  </si>
  <si>
    <t>Mặt bằng kiến trúc và bản vẽ cơ khí theo tiêu chuẩn: U-C4N phù hợp nhất trong ba lựa chọn nhờ công cụ chuyên ngành. Môi trường AutoCAD LT / nhiều hệ CAD: TheWiseKape có lợi thế backend. AutoCAD 2026 COM với thao tác 2D đơn giản, schema hẹp và đầu vào mm: Slacker là lựa chọn gọn.</t>
  </si>
  <si>
    <t>Giới hạn</t>
  </si>
  <si>
    <t>Cả ba là MCP thao tác bản vẽ CAD; không có căn cứ trong tài liệu đã kiểm tra để xem chúng là BIM authoring (Revit/IFC), bộ phân tích kết cấu/FEA hoặc công cụ tuân thủ quy chuẩn xây dựng tự động. Điểm cao không thay thế kiểm tra kỹ thuật của người có chuyên môn.</t>
  </si>
  <si>
    <t>Độ mới</t>
  </si>
  <si>
    <t>Ngày lập: 2026-10-07. Tài liệu public thay đổi theo thời gian; cấu hình và catalog đang chạy trong máy có thể khác snapshot đã so sánh. Kiểm tra capability/catalog runtime trước khi giao việc.</t>
  </si>
  <si>
    <t>Khuyến nghị sử dụng</t>
  </si>
  <si>
    <t>Xây dựng/kiến trúc</t>
  </si>
  <si>
    <t>Ưu tiên U-C4N cho mặt bằng có tường, cửa, cửa sổ, room area/schedule và kiểm tra kiến trúc. Dùng TheWiseKape khi yêu cầu chính là tương thích AutoCAD LT hoặc nhiều CAD.</t>
  </si>
  <si>
    <t>Cơ khí (ME)</t>
  </si>
  <si>
    <t>Ưu tiên U-C4N cho part drawing, view/section, dimensioning, standard parts, parts list/BOM và P&amp;ID. Dùng WiseKape nếu cần workflow chung nhiều backend, P&amp;ID/electrical rộng; kiểm tra từng operation trên backend đã chọn.</t>
  </si>
  <si>
    <t>Thao tác 2D cơ bản</t>
  </si>
  <si>
    <t>Slacker hợp cho tạo/sửa/đọc entity, layer, dimension và screenshot trên AutoCAD 2026 đang mở; không có bộ công cụ kiến trúc/cơ khí chuyên sâu trong phạm vi tài liệu.</t>
  </si>
  <si>
    <t>Trước khi chạy thật</t>
  </si>
  <si>
    <t>Xác nhận backend, tên DWG đang active, đơn vị, allowlist đường dẫn và tool/capability runtime. Với thao tác sửa/xóa/lưu, duyệt phương án và đọc lại bản vẽ sau thực thi.</t>
  </si>
  <si>
    <t>SO SÁNH NĂNG LỰC VÀ ĐẶC TÍNH</t>
  </si>
  <si>
    <t>Các mô tả dưới đây dựa trên README/mã nguồn tại checkout local và tài liệu public liên kết trong sheet Nguon. “Chưa thấy” nghĩa là không được xác nhận trong phạm vi đã rà, không khẳng định không thể làm bằng CAD thủ công.</t>
  </si>
  <si>
    <t>Tiêu chí</t>
  </si>
  <si>
    <t>U-C4N</t>
  </si>
  <si>
    <t>TheWiseKape</t>
  </si>
  <si>
    <t>Slacker</t>
  </si>
  <si>
    <t>Ý nghĩa khi chọn</t>
  </si>
  <si>
    <t>Dùng DXF không cần AutoCAD</t>
  </si>
  <si>
    <t>Có, qua ezdxf.</t>
  </si>
  <si>
    <t>Không có backend headless trong phạm vi này.</t>
  </si>
  <si>
    <t>U-C4N/WiseKape phù hợp tạo hoặc đọc DXF offline.</t>
  </si>
  <si>
    <t>Công cụ kiến trúc/mặt bằng</t>
  </si>
  <si>
    <t>Có nhóm arch: spec tường/lỗ mở, phòng/diện tích, schedules, grid/annotation kiến trúc.</t>
  </si>
  <si>
    <t>Tạo/sửa entity 2D cơ bản; không thấy tool kiến trúc chuyên ngành.</t>
  </si>
  <si>
    <t>U-C4N giảm việc phải tự phân rã mặt bằng thành lệnh hình học cơ bản.</t>
  </si>
  <si>
    <t>Cơ khí chuyên ngành</t>
  </si>
  <si>
    <t>Có dựng part/views/sections, tiêu chuẩn ISO, fasteners/bearings, parts list/balloon, GD&amp;T/tolerance.</t>
  </si>
  <si>
    <t>Có thao tác CAD tổng quát, P&amp;ID, electrical và xuất BOM/data; ít bằng chứng về bộ dựng chi tiết cơ khí theo tiêu chuẩn.</t>
  </si>
  <si>
    <t>Có hình học cơ bản và kích thước; không có bộ công cụ chi tiết cơ khí theo tiêu chuẩn được nêu.</t>
  </si>
  <si>
    <t>U-C4N nổi bật cho bản vẽ chế tạo; không thay hệ CAD/PLM/FEA.</t>
  </si>
  <si>
    <t>Điện</t>
  </si>
  <si>
    <t>Có plant takeoff và một số khả năng liên quan; tính năng schematic IEC 60617 được ghi là roadmap trong snapshot public hiện hành.</t>
  </si>
  <si>
    <t>Không thấy tool điện chuyên ngành.</t>
  </si>
  <si>
    <t>WiseKape có ưu thế điện; cần xác minh tool đang bật và độ phù hợp tiêu chuẩn địa phương.</t>
  </si>
  <si>
    <t>Đọc lại và QC</t>
  </si>
  <si>
    <t>Có read/understand, preflight/critique/refine/finalize; trọng tâm theo domain.</t>
  </si>
  <si>
    <t>Có query/geometry/validate/QC; local validation report ghi một số operation chưa hỗ trợ trên COM.</t>
  </si>
  <si>
    <t>query entities, properties, screenshot; validation chủ yếu là input/API-level.</t>
  </si>
  <si>
    <t>U-C4N có vòng QC chuyên ngành sâu hơn; vẫn phải xem tool trả gì trên đúng backend.</t>
  </si>
  <si>
    <t>Screenshot/feedback trực quan</t>
  </si>
  <si>
    <t>Có view_screenshot; COM capture hoặc render headless khi phụ thuộc cài đặt.</t>
  </si>
  <si>
    <t>Có screenshot/view tools; khả năng tùy backend.</t>
  </si>
  <si>
    <t>Có capture_screenshot cửa sổ AutoCAD, cần cửa sổ không bị che.</t>
  </si>
  <si>
    <t>Ảnh hỗ trợ review trực quan nhưng không thay QC kỹ thuật.</t>
  </si>
  <si>
    <t>An toàn file/lệnh</t>
  </si>
  <si>
    <t>Có allowlist đường dẫn, transaction/rollback theo backend; capability refusals.</t>
  </si>
  <si>
    <t>Có backend/path config; LISP dispatcher và IPC cần cấu hình.</t>
  </si>
  <si>
    <t>Giới hạn save root, chặn overwrite mặc định, không cung cấp run_command/LISP tùy ý.</t>
  </si>
  <si>
    <t>Slacker có phạm vi hẹp; U-C4N/WiseKape cần cấu hình path/engine cẩn thận.</t>
  </si>
  <si>
    <t>Điểm cần lưu ý</t>
  </si>
  <si>
    <t>Catalog lớn; nên dùng tool packs/discovery để giảm context. Không phải BIM/FEA.</t>
  </si>
  <si>
    <t>Nhiều operation nhưng không đồng nghĩa mọi operation chạy trên mọi backend; local report ghi lệch COM.</t>
  </si>
  <si>
    <t>Phạm vi hẹp và phụ thuộc full AutoCAD 2026; screenshot phụ thuộc desktop state.</t>
  </si>
  <si>
    <t>Chọn theo loại việc, backend và độ sâu kiểm tra, không theo số tool đơn thuần.</t>
  </si>
  <si>
    <t>ĐÁNH GIÁ CHO XÂY DỰNG / KIẾN TRÚC</t>
  </si>
  <si>
    <t>Phạm vi chủ yếu là bản vẽ mặt bằng 2D, tổ chức sheet và kiểm tra hình học. Không đánh giá thiết kế kết cấu, code compliance, BIM/Revit hoặc takeoff chuyên ngành ngoài tài liệu.</t>
  </si>
  <si>
    <t>Trọng số (1–5)</t>
  </si>
  <si>
    <t>Điểm U-C4N (1–5)</t>
  </si>
  <si>
    <t>Căn cứ U-C4N</t>
  </si>
  <si>
    <t>Điểm TheWiseKape (1–5)</t>
  </si>
  <si>
    <t>Căn cứ TheWiseKape</t>
  </si>
  <si>
    <t>Điểm Slacker (1–5)</t>
  </si>
  <si>
    <t>Căn cứ Slacker</t>
  </si>
  <si>
    <t>Ghi chú / ranh giới</t>
  </si>
  <si>
    <t>Dựng mặt bằng theo spec (tường/cửa/cửa sổ)</t>
  </si>
  <si>
    <t>Có arch_plan_from_spec và mô hình tường/lỗ mở chuyên ngành.</t>
  </si>
  <si>
    <t>Primitive/layer/batch; không thấy plan engine phòng trong README.</t>
  </si>
  <si>
    <t>Có polyline/text/dimension cơ bản, cần tự dựng hình.</t>
  </si>
  <si>
    <t>Điểm cao cần catalog bật arch pack và schema phù hợp.</t>
  </si>
  <si>
    <t>Đọc phòng, đo diện tích, room schedule</t>
  </si>
  <si>
    <t>Có arch_rooms_detect/room labels/room &amp; opening schedules theo tài liệu.</t>
  </si>
  <si>
    <t>Có geometry area và queries; không thấy room semantic/schedule chuyên ngành.</t>
  </si>
  <si>
    <t>Không có tool area/room semantic rõ ràng trong README.</t>
  </si>
  <si>
    <t>Diện tích phải lấy từ geometry đọc lại, không dựa vào nhãn.</t>
  </si>
  <si>
    <t>Lưới/trục và chú thích kiến trúc</t>
  </si>
  <si>
    <t>Có structural grid và annotation kiến trúc; mức độ kiểm tra kết cấu không tương đương solver.</t>
  </si>
  <si>
    <t>Dùng hình học/layer tổng quát.</t>
  </si>
  <si>
    <t>Entity/layer/dimension tổng quát.</t>
  </si>
  <si>
    <t>Không diễn giải grid tool thành thiết kế kết cấu.</t>
  </si>
  <si>
    <t>QC kiến trúc/topology</t>
  </si>
  <si>
    <t>Có các focus kiến trúc như wall gaps, opening clashes, unlabelled rooms.</t>
  </si>
  <si>
    <t>Có validate/QC tổng quát; một số operation COM chưa được xác nhận trong local report.</t>
  </si>
  <si>
    <t>Có query/screenshot và kiểm tra tham số; không có bộ critique kiến trúc.</t>
  </si>
  <si>
    <t>Tool chỉ xác minh những thuộc tính mà backend đọc được.</t>
  </si>
  <si>
    <t>Bố cục sheet, layout, plot</t>
  </si>
  <si>
    <t>Có page setup/templates/layouts/PDF workflows theo snapshot.</t>
  </si>
  <si>
    <t>Có layout, viewport, page setup và batch plot.</t>
  </si>
  <si>
    <t>Có list_layouts và save; không có plot/layout lifecycle đầy đủ trong phạm vi.</t>
  </si>
  <si>
    <t>Đối chiếu capability runtime và plot device.</t>
  </si>
  <si>
    <t>AutoCAD LT / nhiều hệ CAD</t>
  </si>
  <si>
    <t>COM AutoCAD và ezdxf; không thấy File IPC LT/multi-CAD.</t>
  </si>
  <si>
    <t>File IPC cho LT, COM multi-CAD, ezdxf.</t>
  </si>
  <si>
    <t>Chỉ full AutoCAD 2026 COM theo README.</t>
  </si>
  <si>
    <t>Điểm phản ánh khả năng kết nối, không bảo đảm parity mọi tool.</t>
  </si>
  <si>
    <t>DXF headless / không mở CAD</t>
  </si>
  <si>
    <t>Có ezdxf backend.</t>
  </si>
  <si>
    <t>Phụ thuộc AutoCAD đang chạy.</t>
  </si>
  <si>
    <t>Headless không đồng nghĩa xem được ảnh nếu thiếu renderer.</t>
  </si>
  <si>
    <t>Trung bình có trọng số</t>
  </si>
  <si>
    <t>Cách tính: trung bình có trọng số = Σ(trọng số × điểm MCP) ÷ Σ(trọng số). Điểm 1–5 là đánh giá phù hợp tương đối dựa trên căn cứ ở từng hàng; trọng số phản ánh mức quan trọng của tiêu chí trong lĩnh vực. Đây là thang đánh giá chủ quan, không phải benchmark chất lượng hoặc độ chính xác.</t>
  </si>
  <si>
    <t>ĐÁNH GIÁ MCP CHO MEP</t>
  </si>
  <si>
    <t>MEP = Mechanical, Electrical &amp; Plumbing (cơ điện công trình). Điểm phản ánh mức độ có công cụ/tích hợp chuyên ngành được xác nhận trong source/catalog local; 1 = không thấy hỗ trợ chuyên biệt, 5 = hỗ trợ chuyên sâu. Đây không phải chứng nhận thiết kế hay kiểm tra tuân thủ quy chuẩn.</t>
  </si>
  <si>
    <t>Kết luận nhanh: TheWiseKape có độ phủ MEP rộng nhất nếu có MagiCAD và cấu hình File IPC; điểm đã giảm để phản ánh phụ thuộc plugin/backend. U-C4N nổi bật ở P&amp;ID công nghiệp, topology và pipe/cable takeoff; chưa phải bộ thiết kế HVAC/điện tòa nhà. Slacker là bộ công cụ CAD cơ bản, không có gói MEP chuyên ngành trong catalog.</t>
  </si>
  <si>
    <t>Tiêu chí MEP</t>
  </si>
  <si>
    <t>U-C4N (1–5)</t>
  </si>
  <si>
    <t>Căn cứ / giới hạn U-C4N</t>
  </si>
  <si>
    <t>TheWiseKape (1–5)</t>
  </si>
  <si>
    <t>Căn cứ / giới hạn TheWiseKape</t>
  </si>
  <si>
    <t>Slacker (1–5)</t>
  </si>
  <si>
    <t>Căn cứ / giới hạn Slacker</t>
  </si>
  <si>
    <t>HVAC: ống gió, thiết bị, tính toán/kiểm tra</t>
  </si>
  <si>
    <t xml:space="preserve">Không thấy engine dựng duct/HVAC hoặc sizing. Có thể tạo hình CAD tổng quát; đây không phải workflow HVAC chuyên ngành. </t>
  </si>
  <si>
    <t>Có MagiCAD integration cho ventilation và lệnh MEP; chấm 4 vì chức năng do plugin thương mại đảm nhiệm và local validation chỉ xác nhận đường File IPC. Lưu ý: TheWiseKape score chủ yếu là tích hợp plugin, không phải MCP tự tính toán HVAC độc lập.</t>
  </si>
  <si>
    <t>Không có HVAC-specific tools; chủ yếu entity CAD 2D.</t>
  </si>
  <si>
    <t>Electrical: symbol, circuit, panel, NEC calculations</t>
  </si>
  <si>
    <t>Có layer/service tagging và cable_takeoff cho plant pair; README ghi IEC 60617 schematic là roadmap, không phải tính toán điện công trình.</t>
  </si>
  <si>
    <t>Có electrical tool group: NEC lookup, voltage drop, conduit fill, load calc, symbols, circuit trace, panel schedules, wire numbering; chấm 4 vì không chạy trên COM và ezdxf chỉ một phần. Lưu ý: Local validation: WiseKape electrical không chạy trên COM; File IPC đầy đủ, ezdxf một phần.</t>
  </si>
  <si>
    <t>Không có công cụ electrical chuyên ngành được xác nhận.</t>
  </si>
  <si>
    <t>Plumbing / cấp thoát nước / sprinkler</t>
  </si>
  <si>
    <t>P&amp;ID và pipe takeoff hữu ích cho piping công nghiệp; không thấy công cụ tính thủy lực/fixture layout cho plumbing tòa nhà.</t>
  </si>
  <si>
    <t>MagiCAD integration mô tả piping và sprinkler; chấm 4 do cần plugin/project MagiCAD và đúng backend File IPC. Lưu ý: Không đồng nhất process piping P&amp;ID với thiết kế cấp thoát nước tòa nhà.</t>
  </si>
  <si>
    <t>Không có plumbing/sprinkler tools chuyên ngành.</t>
  </si>
  <si>
    <t>P&amp;ID / process piping</t>
  </si>
  <si>
    <t>Mạnh: symbol catalog, port connections, pid_graph, pid_from_spec, line/equipment/instrument lists và topology validation. Lưu ý: U-C4N tập trung process/plant; không thay Plant 3D. Tài liệu U-C4N ghi không hỗ trợ Plant 3D.</t>
  </si>
  <si>
    <t>Có P&amp;ID symbol/line/connectivity tools; File IPC hỗ trợ sâu, ezdxf được ghi đơn giản hóa, COM chưa wire theo local report.</t>
  </si>
  <si>
    <t>Không có P&amp;ID-specific catalog.</t>
  </si>
  <si>
    <t>Bóc tách khối lượng và schedules</t>
  </si>
  <si>
    <t>pipe_takeoff/cable_takeoff kết hợp topology P&amp;ID với layout, xuất workbook; có line/equipment/instrument lists. Lưu ý: Đầu vào/layer/tag phải đúng và dữ liệu thiếu cần được báo thay vì suy đoán.</t>
  </si>
  <si>
    <t>Có export/BOM/Excel và dữ liệu P&amp;ID; không thấy MEP pipe/cable takeoff tương đương U-C4N trong tài liệu đã rà.</t>
  </si>
  <si>
    <t>Không có BOM/takeoff MEP chuyên biệt; có query entity cơ bản.</t>
  </si>
  <si>
    <t>IFC/BIM trao đổi dữ liệu</t>
  </si>
  <si>
    <t>Không thấy IFC/BIM authoring/export trong U-C4N snapshot; Plant 3D bị loại khỏi phạm vi.</t>
  </si>
  <si>
    <t>MagiCAD wrapper có thao tác ifc_export; chấm 3 vì là chức năng gọi qua plugin ngoài, chưa phải MCP BIM authoring/validation. Lưu ý: Cần MagiCAD và kiểm tra file IFC sau export bằng viewer/validator phù hợp.</t>
  </si>
  <si>
    <t>Không có IFC/BIM export trong phạm vi tool hiện có.</t>
  </si>
  <si>
    <t>Topology / lỗi kết nối / QC mạng</t>
  </si>
  <si>
    <t>pid_graph/topology_check tìm dangling ends, near misses, crossings; độ sâu mạnh nhất ở process P&amp;ID. Lưu ý: Không diễn giải thành clash detection 3D hoặc kiểm tra mọi quy chuẩn.</t>
  </si>
  <si>
    <t>Có validate connectivity và MagiCAD fix_errors; chấm 3 do phụ thuộc backend/plugin và không tương đương clash detection 3D.</t>
  </si>
  <si>
    <t>Có query/screenshot nhưng không có MEP network validator.</t>
  </si>
  <si>
    <t>Bản vẽ MEP tổng hợp và tương tác CAD</t>
  </si>
  <si>
    <t>Có CAD tools, layer sets, drawings, arch/plant/P&amp;ID; HVAC/electrical building design vẫn thiếu.</t>
  </si>
  <si>
    <t>Nhiều backend, batch, electrical/P&amp;ID/MagiCAD; nhưng File IPC có setup LISP và backend operation coverage khác nhau. Lưu ý: Chấm theo chuyên ngành MEP chứ không phải độ tốt của CAD primitive.</t>
  </si>
  <si>
    <t>Tạo/sửa hình học 2D, layer, text, dimension và screenshot; cần người dùng/agent tự tổ chức bản vẽ MEP.</t>
  </si>
  <si>
    <t>Tổng trọng số = 33</t>
  </si>
  <si>
    <t>Cách tính: trung bình có trọng số = Σ(trọng số × điểm MCP) ÷ Σ(trọng số). Điểm 1–5 là đánh giá phù hợp tương đối theo căn cứ ở từng hàng; 4–5 không đồng nghĩa đã kiểm thử live mọi operation. Trọng số là lựa chọn cho một MEP tổng hợp; đổi trọng số sẽ đổi thứ hạng.</t>
  </si>
  <si>
    <t>Backend là yếu tố quyết định: local validation báo MagiCAD chỉ qua File IPC; electrical không hỗ trợ COM và ezdxf chỉ một phần. Xác minh từng operation trong catalog của runtime trước khi dùng.</t>
  </si>
  <si>
    <t>Có entity, geometry, layout và query tổng quát; không thấy engine phòng chuyên ngành.</t>
  </si>
  <si>
    <t>Có nhóm electrical (NEC lookup/calculation/circuit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</si>
</sst>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amily val="2"/>
      <scheme val="minor"/>
    </font>
    <font>
      <b/>
      <sz val="18"/>
      <color rgb="FFFFFFFF"/>
      <name val="Aptos Display"/>
    </font>
    <font>
      <i/>
      <sz val="10"/>
      <color rgb="FF404040"/>
      <name val="Aptos"/>
    </font>
    <font>
      <b/>
      <sz val="11"/>
      <color rgb="FFFFFFFF"/>
      <name val="Arial"/>
    </font>
    <font>
      <b/>
      <sz val="11"/>
      <color rgb="FF17365D"/>
      <name val="Arial"/>
    </font>
    <font>
      <sz val="10"/>
      <color rgb="FF202020"/>
      <name val="Aptos"/>
    </font>
    <font>
      <b/>
      <sz val="12"/>
      <color rgb="FF17365D"/>
      <name val="Arial"/>
    </font>
    <font>
      <i/>
      <sz val="11"/>
      <color rgb="FF666666"/>
      <name val="Arial"/>
    </font>
    <font>
      <i/>
      <sz val="11"/>
      <color rgb="FF404040"/>
      <name val="Arial"/>
    </font>
    <font>
      <b/>
      <sz val="11"/>
      <color rgb="FF9C0006"/>
      <name val="Arial"/>
    </font>
    <font>
      <b/>
      <sz val="11"/>
      <color rgb="FFFFFFFF"/>
      <name val="Calibri"/>
    </font>
  </fonts>
  <fills count="6">
    <fill>
      <patternFill patternType="none"/>
    </fill>
    <fill>
      <patternFill patternType="gray125"/>
    </fill>
    <fill>
      <patternFill patternType="solid">
        <fgColor rgb="FF17365D"/>
      </patternFill>
    </fill>
    <fill>
      <patternFill patternType="solid">
        <fgColor rgb="FF1F4E78"/>
      </patternFill>
    </fill>
    <fill>
      <patternFill patternType="solid">
        <fgColor rgb="FF0F6B78"/>
      </patternFill>
    </fill>
    <fill>
      <patternFill patternType="solid">
        <fgColor rgb="FFE2F0D9"/>
      </patternFill>
    </fill>
  </fills>
  <borders count="2">
    <border>
      <left/>
      <right/>
      <top/>
      <bottom/>
      <diagonal/>
    </border>
    <border>
      <left/>
      <right/>
      <top/>
      <bottom style="thin">
        <color rgb="FFD9E1F2"/>
      </bottom>
      <diagonal/>
    </border>
  </borders>
  <cellStyleXfs count="1">
    <xf numFmtId="0" fontId="0" fillId="0" borderId="0"/>
  </cellStyleXfs>
  <cellXfs count="25">
    <xf numFmtId="0" fontId="0" fillId="0" borderId="0" xfId="0"/>
    <xf numFmtId="0" fontId="3" fillId="3" borderId="1" xfId="0" applyFont="1" applyFill="1" applyBorder="1" applyAlignment="1">
      <alignment vertical="center" wrapText="1"/>
    </xf>
    <xf numFmtId="0" fontId="4" fillId="0" borderId="0" xfId="0" applyFont="1" applyAlignment="1">
      <alignment vertical="top" wrapText="1"/>
    </xf>
    <xf numFmtId="0" fontId="3" fillId="4" borderId="0" xfId="0" applyFont="1" applyFill="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xf>
    <xf numFmtId="2" fontId="6" fillId="0" borderId="0" xfId="0" applyNumberFormat="1" applyFont="1" applyAlignment="1">
      <alignment vertical="top" wrapText="1"/>
    </xf>
    <xf numFmtId="0" fontId="3" fillId="3" borderId="0" xfId="0" applyFont="1" applyFill="1" applyAlignment="1">
      <alignment vertical="center" wrapText="1"/>
    </xf>
    <xf numFmtId="0" fontId="3" fillId="4" borderId="0" xfId="0" applyFont="1" applyFill="1"/>
    <xf numFmtId="2" fontId="4" fillId="0" borderId="0" xfId="0" applyNumberFormat="1" applyFont="1" applyAlignment="1">
      <alignment vertical="top"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4" fillId="0" borderId="0" xfId="0" applyFont="1" applyAlignment="1">
      <alignment horizontal="center" vertical="center" wrapText="1"/>
    </xf>
    <xf numFmtId="2" fontId="6" fillId="0" borderId="0" xfId="0" applyNumberFormat="1" applyFont="1" applyAlignment="1">
      <alignment horizontal="center" vertical="center"/>
    </xf>
    <xf numFmtId="0" fontId="2" fillId="0" borderId="0" xfId="0" applyFont="1" applyAlignment="1">
      <alignment vertical="top" wrapText="1"/>
    </xf>
    <xf numFmtId="0" fontId="0" fillId="0" borderId="0" xfId="0"/>
    <xf numFmtId="0" fontId="0" fillId="0" borderId="0" xfId="0" applyAlignment="1">
      <alignment vertical="top" wrapText="1"/>
    </xf>
    <xf numFmtId="0" fontId="1" fillId="2" borderId="0" xfId="0" applyFont="1" applyFill="1" applyAlignment="1">
      <alignment vertical="center"/>
    </xf>
    <xf numFmtId="0" fontId="3" fillId="4" borderId="0" xfId="0" applyFont="1" applyFill="1" applyAlignment="1">
      <alignment vertical="top" wrapText="1"/>
    </xf>
    <xf numFmtId="0" fontId="7" fillId="0" borderId="0" xfId="0" applyFont="1" applyAlignment="1">
      <alignment vertical="top" wrapText="1"/>
    </xf>
    <xf numFmtId="0" fontId="0" fillId="5" borderId="0" xfId="0" applyFill="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7" fillId="0" borderId="0" xfId="0" applyFont="1" applyAlignment="1">
      <alignment horizontal="left" vertical="center" wrapText="1"/>
    </xf>
    <xf numFmtId="0" fontId="10" fillId="3"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6"/>
  <sheetViews>
    <sheetView showGridLines="0" zoomScale="85" workbookViewId="0">
      <pane ySplit="4" topLeftCell="A9" activePane="bottomLeft" state="frozen"/>
      <selection pane="bottomLeft" sqref="A1:F1"/>
    </sheetView>
  </sheetViews>
  <sheetFormatPr defaultRowHeight="13.8" x14ac:dyDescent="0.25"/>
  <cols>
    <col min="1" max="1" width="23" customWidth="1"/>
    <col min="2" max="2" width="34" customWidth="1"/>
    <col min="3" max="6" width="20" customWidth="1"/>
  </cols>
  <sheetData>
    <row r="1" spans="1:6" ht="31.95" customHeight="1" x14ac:dyDescent="0.25">
      <c r="A1" s="17" t="s">
        <v>0</v>
      </c>
      <c r="B1" s="15"/>
      <c r="C1" s="15"/>
      <c r="D1" s="15"/>
      <c r="E1" s="15"/>
      <c r="F1" s="15"/>
    </row>
    <row r="2" spans="1:6" ht="30" customHeight="1" x14ac:dyDescent="0.25">
      <c r="A2" s="14" t="s">
        <v>1</v>
      </c>
      <c r="B2" s="15"/>
      <c r="C2" s="15"/>
      <c r="D2" s="15"/>
      <c r="E2" s="15"/>
      <c r="F2" s="15"/>
    </row>
    <row r="4" spans="1:6" ht="31.95" customHeight="1" x14ac:dyDescent="0.25">
      <c r="A4" s="1" t="s">
        <v>2</v>
      </c>
      <c r="B4" s="1" t="s">
        <v>3</v>
      </c>
      <c r="C4" s="1"/>
      <c r="D4" s="1"/>
      <c r="E4" s="1"/>
      <c r="F4" s="1"/>
    </row>
    <row r="5" spans="1:6" ht="34.950000000000003" customHeight="1" x14ac:dyDescent="0.25">
      <c r="A5" s="2" t="s">
        <v>4</v>
      </c>
      <c r="B5" s="16" t="s">
        <v>5</v>
      </c>
      <c r="C5" s="15"/>
      <c r="D5" s="15"/>
      <c r="E5" s="15"/>
      <c r="F5" s="15"/>
    </row>
    <row r="6" spans="1:6" ht="48" customHeight="1" x14ac:dyDescent="0.25">
      <c r="A6" s="2" t="s">
        <v>6</v>
      </c>
      <c r="B6" s="16" t="s">
        <v>7</v>
      </c>
      <c r="C6" s="15"/>
      <c r="D6" s="15"/>
      <c r="E6" s="15"/>
      <c r="F6" s="15"/>
    </row>
    <row r="7" spans="1:6" ht="34.950000000000003" customHeight="1" x14ac:dyDescent="0.25">
      <c r="A7" s="2" t="s">
        <v>8</v>
      </c>
      <c r="B7" s="16" t="s">
        <v>9</v>
      </c>
      <c r="C7" s="15"/>
      <c r="D7" s="15"/>
      <c r="E7" s="15"/>
      <c r="F7" s="15"/>
    </row>
    <row r="8" spans="1:6" ht="48" customHeight="1" x14ac:dyDescent="0.25">
      <c r="A8" s="2" t="s">
        <v>10</v>
      </c>
      <c r="B8" s="16" t="s">
        <v>11</v>
      </c>
      <c r="C8" s="15"/>
      <c r="D8" s="15"/>
      <c r="E8" s="15"/>
      <c r="F8" s="15"/>
    </row>
    <row r="9" spans="1:6" ht="48" customHeight="1" x14ac:dyDescent="0.25">
      <c r="A9" s="2" t="s">
        <v>12</v>
      </c>
      <c r="B9" s="16" t="s">
        <v>13</v>
      </c>
      <c r="C9" s="15"/>
      <c r="D9" s="15"/>
      <c r="E9" s="15"/>
      <c r="F9" s="15"/>
    </row>
    <row r="10" spans="1:6" ht="34.950000000000003" customHeight="1" x14ac:dyDescent="0.25">
      <c r="A10" s="2" t="s">
        <v>14</v>
      </c>
      <c r="B10" s="16" t="s">
        <v>15</v>
      </c>
      <c r="C10" s="15"/>
      <c r="D10" s="15"/>
      <c r="E10" s="15"/>
      <c r="F10" s="15"/>
    </row>
    <row r="12" spans="1:6" x14ac:dyDescent="0.25">
      <c r="A12" s="18" t="s">
        <v>16</v>
      </c>
      <c r="B12" s="15"/>
      <c r="C12" s="15"/>
      <c r="D12" s="15"/>
      <c r="E12" s="15"/>
      <c r="F12" s="15"/>
    </row>
    <row r="13" spans="1:6" ht="42" customHeight="1" x14ac:dyDescent="0.25">
      <c r="A13" s="2" t="s">
        <v>17</v>
      </c>
      <c r="B13" s="16" t="s">
        <v>18</v>
      </c>
      <c r="C13" s="15"/>
      <c r="D13" s="15"/>
      <c r="E13" s="15"/>
      <c r="F13" s="15"/>
    </row>
    <row r="14" spans="1:6" ht="42" customHeight="1" x14ac:dyDescent="0.25">
      <c r="A14" s="2" t="s">
        <v>19</v>
      </c>
      <c r="B14" s="16" t="s">
        <v>20</v>
      </c>
      <c r="C14" s="15"/>
      <c r="D14" s="15"/>
      <c r="E14" s="15"/>
      <c r="F14" s="15"/>
    </row>
    <row r="15" spans="1:6" ht="42" customHeight="1" x14ac:dyDescent="0.25">
      <c r="A15" s="2" t="s">
        <v>21</v>
      </c>
      <c r="B15" s="16" t="s">
        <v>22</v>
      </c>
      <c r="C15" s="15"/>
      <c r="D15" s="15"/>
      <c r="E15" s="15"/>
      <c r="F15" s="15"/>
    </row>
    <row r="16" spans="1:6" ht="42" customHeight="1" x14ac:dyDescent="0.25">
      <c r="A16" s="2" t="s">
        <v>23</v>
      </c>
      <c r="B16" s="16" t="s">
        <v>24</v>
      </c>
      <c r="C16" s="15"/>
      <c r="D16" s="15"/>
      <c r="E16" s="15"/>
      <c r="F16" s="15"/>
    </row>
  </sheetData>
  <mergeCells count="13">
    <mergeCell ref="A1:F1"/>
    <mergeCell ref="B5:F5"/>
    <mergeCell ref="A12:F12"/>
    <mergeCell ref="B14:F14"/>
    <mergeCell ref="B8:F8"/>
    <mergeCell ref="B9:F9"/>
    <mergeCell ref="B13:F13"/>
    <mergeCell ref="A2:F2"/>
    <mergeCell ref="B7:F7"/>
    <mergeCell ref="B6:F6"/>
    <mergeCell ref="B16:F16"/>
    <mergeCell ref="B15:F15"/>
    <mergeCell ref="B10:F10"/>
  </mergeCells>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2"/>
  <sheetViews>
    <sheetView showGridLines="0" zoomScale="85" workbookViewId="0">
      <pane xSplit="1" ySplit="4" topLeftCell="B5" activePane="bottomRight" state="frozen"/>
      <selection pane="topRight"/>
      <selection pane="bottomLeft"/>
      <selection pane="bottomRight" activeCell="C19" sqref="C19"/>
    </sheetView>
  </sheetViews>
  <sheetFormatPr defaultRowHeight="13.8" x14ac:dyDescent="0.25"/>
  <cols>
    <col min="1" max="1" width="25" customWidth="1"/>
    <col min="2" max="3" width="48" customWidth="1"/>
    <col min="4" max="4" width="44" customWidth="1"/>
    <col min="5" max="5" width="46" customWidth="1"/>
  </cols>
  <sheetData>
    <row r="1" spans="1:5" ht="31.95" customHeight="1" x14ac:dyDescent="0.25">
      <c r="A1" s="17" t="s">
        <v>25</v>
      </c>
      <c r="B1" s="15"/>
      <c r="C1" s="15"/>
      <c r="D1" s="15"/>
      <c r="E1" s="15"/>
    </row>
    <row r="2" spans="1:5" ht="30" customHeight="1" x14ac:dyDescent="0.25">
      <c r="A2" s="14" t="s">
        <v>26</v>
      </c>
      <c r="B2" s="15"/>
      <c r="C2" s="15"/>
      <c r="D2" s="15"/>
      <c r="E2" s="15"/>
    </row>
    <row r="4" spans="1:5" ht="31.95" customHeight="1" x14ac:dyDescent="0.25">
      <c r="A4" s="24" t="s">
        <v>27</v>
      </c>
      <c r="B4" s="24" t="s">
        <v>28</v>
      </c>
      <c r="C4" s="24" t="s">
        <v>29</v>
      </c>
      <c r="D4" s="24" t="s">
        <v>30</v>
      </c>
      <c r="E4" s="24" t="s">
        <v>31</v>
      </c>
    </row>
    <row r="5" spans="1:5" x14ac:dyDescent="0.25">
      <c r="A5" s="4" t="s">
        <v>32</v>
      </c>
      <c r="B5" s="4" t="s">
        <v>33</v>
      </c>
      <c r="C5" s="4" t="s">
        <v>33</v>
      </c>
      <c r="D5" s="4" t="s">
        <v>34</v>
      </c>
      <c r="E5" s="4" t="s">
        <v>35</v>
      </c>
    </row>
    <row r="6" spans="1:5" ht="27.6" x14ac:dyDescent="0.25">
      <c r="A6" s="4" t="s">
        <v>49</v>
      </c>
      <c r="B6" s="4" t="s">
        <v>50</v>
      </c>
      <c r="C6" s="4" t="s">
        <v>51</v>
      </c>
      <c r="D6" s="4" t="s">
        <v>52</v>
      </c>
      <c r="E6" s="4" t="s">
        <v>53</v>
      </c>
    </row>
    <row r="7" spans="1:5" ht="27.6" x14ac:dyDescent="0.25">
      <c r="A7" s="4" t="s">
        <v>54</v>
      </c>
      <c r="B7" s="4" t="s">
        <v>55</v>
      </c>
      <c r="C7" s="4" t="s">
        <v>56</v>
      </c>
      <c r="D7" s="4" t="s">
        <v>57</v>
      </c>
      <c r="E7" s="4" t="s">
        <v>58</v>
      </c>
    </row>
    <row r="8" spans="1:5" ht="27.6" x14ac:dyDescent="0.25">
      <c r="A8" s="4" t="s">
        <v>36</v>
      </c>
      <c r="B8" s="4" t="s">
        <v>37</v>
      </c>
      <c r="C8" s="4" t="s">
        <v>160</v>
      </c>
      <c r="D8" s="4" t="s">
        <v>38</v>
      </c>
      <c r="E8" s="4" t="s">
        <v>39</v>
      </c>
    </row>
    <row r="9" spans="1:5" ht="27.6" x14ac:dyDescent="0.25">
      <c r="A9" s="4" t="s">
        <v>40</v>
      </c>
      <c r="B9" s="4" t="s">
        <v>41</v>
      </c>
      <c r="C9" s="4" t="s">
        <v>42</v>
      </c>
      <c r="D9" s="4" t="s">
        <v>43</v>
      </c>
      <c r="E9" s="4" t="s">
        <v>44</v>
      </c>
    </row>
    <row r="10" spans="1:5" ht="41.4" x14ac:dyDescent="0.25">
      <c r="A10" s="4" t="s">
        <v>45</v>
      </c>
      <c r="B10" s="4" t="s">
        <v>46</v>
      </c>
      <c r="C10" s="4" t="s">
        <v>161</v>
      </c>
      <c r="D10" s="4" t="s">
        <v>47</v>
      </c>
      <c r="E10" s="4" t="s">
        <v>48</v>
      </c>
    </row>
    <row r="11" spans="1:5" ht="27.6" x14ac:dyDescent="0.25">
      <c r="A11" s="4" t="s">
        <v>59</v>
      </c>
      <c r="B11" s="4" t="s">
        <v>60</v>
      </c>
      <c r="C11" s="4" t="s">
        <v>61</v>
      </c>
      <c r="D11" s="4" t="s">
        <v>62</v>
      </c>
      <c r="E11" s="4" t="s">
        <v>63</v>
      </c>
    </row>
    <row r="12" spans="1:5" ht="27.6" x14ac:dyDescent="0.25">
      <c r="A12" s="4" t="s">
        <v>64</v>
      </c>
      <c r="B12" s="4" t="s">
        <v>65</v>
      </c>
      <c r="C12" s="4" t="s">
        <v>66</v>
      </c>
      <c r="D12" s="4" t="s">
        <v>67</v>
      </c>
      <c r="E12" s="4" t="s">
        <v>68</v>
      </c>
    </row>
  </sheetData>
  <autoFilter ref="A4:E18" xr:uid="{00000000-0009-0000-0000-000001000000}"/>
  <mergeCells count="2">
    <mergeCell ref="A2:E2"/>
    <mergeCell ref="A1:E1"/>
  </mergeCells>
  <pageMargins left="0.75" right="0.75" top="1" bottom="1" header="0.5" footer="0.5"/>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5"/>
  <sheetViews>
    <sheetView showGridLines="0" zoomScale="85" workbookViewId="0">
      <pane xSplit="2" ySplit="4" topLeftCell="C5" activePane="bottomRight" state="frozen"/>
      <selection pane="topRight"/>
      <selection pane="bottomLeft"/>
      <selection pane="bottomRight" sqref="A1:I1"/>
    </sheetView>
  </sheetViews>
  <sheetFormatPr defaultRowHeight="13.8" x14ac:dyDescent="0.25"/>
  <cols>
    <col min="1" max="1" width="30" customWidth="1"/>
    <col min="2" max="2" width="15" customWidth="1"/>
    <col min="3" max="3" width="16" customWidth="1"/>
    <col min="4" max="4" width="44" customWidth="1"/>
    <col min="5" max="5" width="19" customWidth="1"/>
    <col min="6" max="6" width="44" customWidth="1"/>
    <col min="7" max="7" width="16" customWidth="1"/>
    <col min="8" max="8" width="44" customWidth="1"/>
    <col min="9" max="9" width="43" customWidth="1"/>
  </cols>
  <sheetData>
    <row r="1" spans="1:9" ht="31.95" customHeight="1" x14ac:dyDescent="0.25">
      <c r="A1" s="17" t="s">
        <v>69</v>
      </c>
      <c r="B1" s="15"/>
      <c r="C1" s="15"/>
      <c r="D1" s="15"/>
      <c r="E1" s="15"/>
      <c r="F1" s="15"/>
      <c r="G1" s="15"/>
      <c r="H1" s="15"/>
      <c r="I1" s="15"/>
    </row>
    <row r="2" spans="1:9" ht="30" customHeight="1" x14ac:dyDescent="0.25">
      <c r="A2" s="14" t="s">
        <v>70</v>
      </c>
      <c r="B2" s="15"/>
      <c r="C2" s="15"/>
      <c r="D2" s="15"/>
      <c r="E2" s="15"/>
      <c r="F2" s="15"/>
      <c r="G2" s="15"/>
      <c r="H2" s="15"/>
      <c r="I2" s="15"/>
    </row>
    <row r="4" spans="1:9" ht="31.95" customHeight="1" x14ac:dyDescent="0.25">
      <c r="A4" s="1" t="s">
        <v>27</v>
      </c>
      <c r="B4" s="1" t="s">
        <v>71</v>
      </c>
      <c r="C4" s="1" t="s">
        <v>72</v>
      </c>
      <c r="D4" s="1" t="s">
        <v>73</v>
      </c>
      <c r="E4" s="1" t="s">
        <v>74</v>
      </c>
      <c r="F4" s="1" t="s">
        <v>75</v>
      </c>
      <c r="G4" s="1" t="s">
        <v>76</v>
      </c>
      <c r="H4" s="1" t="s">
        <v>77</v>
      </c>
      <c r="I4" s="1" t="s">
        <v>78</v>
      </c>
    </row>
    <row r="5" spans="1:9" ht="27.6" x14ac:dyDescent="0.25">
      <c r="A5" s="4" t="s">
        <v>79</v>
      </c>
      <c r="B5" s="5">
        <v>5</v>
      </c>
      <c r="C5" s="5">
        <v>5</v>
      </c>
      <c r="D5" s="4" t="s">
        <v>80</v>
      </c>
      <c r="E5" s="5">
        <v>2</v>
      </c>
      <c r="F5" s="4" t="s">
        <v>81</v>
      </c>
      <c r="G5" s="5">
        <v>1</v>
      </c>
      <c r="H5" s="4" t="s">
        <v>82</v>
      </c>
      <c r="I5" s="4" t="s">
        <v>83</v>
      </c>
    </row>
    <row r="6" spans="1:9" ht="27.6" x14ac:dyDescent="0.25">
      <c r="A6" s="4" t="s">
        <v>84</v>
      </c>
      <c r="B6" s="5">
        <v>4</v>
      </c>
      <c r="C6" s="5">
        <v>5</v>
      </c>
      <c r="D6" s="4" t="s">
        <v>85</v>
      </c>
      <c r="E6" s="5">
        <v>2</v>
      </c>
      <c r="F6" s="4" t="s">
        <v>86</v>
      </c>
      <c r="G6" s="5">
        <v>1</v>
      </c>
      <c r="H6" s="4" t="s">
        <v>87</v>
      </c>
      <c r="I6" s="4" t="s">
        <v>88</v>
      </c>
    </row>
    <row r="7" spans="1:9" ht="27.6" x14ac:dyDescent="0.25">
      <c r="A7" s="4" t="s">
        <v>89</v>
      </c>
      <c r="B7" s="5">
        <v>3</v>
      </c>
      <c r="C7" s="5">
        <v>4</v>
      </c>
      <c r="D7" s="4" t="s">
        <v>90</v>
      </c>
      <c r="E7" s="5">
        <v>2</v>
      </c>
      <c r="F7" s="4" t="s">
        <v>91</v>
      </c>
      <c r="G7" s="5">
        <v>1</v>
      </c>
      <c r="H7" s="4" t="s">
        <v>92</v>
      </c>
      <c r="I7" s="4" t="s">
        <v>93</v>
      </c>
    </row>
    <row r="8" spans="1:9" ht="27.6" x14ac:dyDescent="0.25">
      <c r="A8" s="4" t="s">
        <v>94</v>
      </c>
      <c r="B8" s="5">
        <v>4</v>
      </c>
      <c r="C8" s="5">
        <v>5</v>
      </c>
      <c r="D8" s="4" t="s">
        <v>95</v>
      </c>
      <c r="E8" s="5">
        <v>3</v>
      </c>
      <c r="F8" s="4" t="s">
        <v>96</v>
      </c>
      <c r="G8" s="5">
        <v>2</v>
      </c>
      <c r="H8" s="4" t="s">
        <v>97</v>
      </c>
      <c r="I8" s="4" t="s">
        <v>98</v>
      </c>
    </row>
    <row r="9" spans="1:9" ht="27.6" x14ac:dyDescent="0.25">
      <c r="A9" s="4" t="s">
        <v>99</v>
      </c>
      <c r="B9" s="5">
        <v>2</v>
      </c>
      <c r="C9" s="5">
        <v>5</v>
      </c>
      <c r="D9" s="4" t="s">
        <v>100</v>
      </c>
      <c r="E9" s="5">
        <v>4</v>
      </c>
      <c r="F9" s="4" t="s">
        <v>101</v>
      </c>
      <c r="G9" s="5">
        <v>2</v>
      </c>
      <c r="H9" s="4" t="s">
        <v>102</v>
      </c>
      <c r="I9" s="4" t="s">
        <v>103</v>
      </c>
    </row>
    <row r="10" spans="1:9" ht="27.6" x14ac:dyDescent="0.25">
      <c r="A10" s="4" t="s">
        <v>104</v>
      </c>
      <c r="B10" s="5">
        <v>2</v>
      </c>
      <c r="C10" s="5">
        <v>2</v>
      </c>
      <c r="D10" s="4" t="s">
        <v>105</v>
      </c>
      <c r="E10" s="5">
        <v>5</v>
      </c>
      <c r="F10" s="4" t="s">
        <v>106</v>
      </c>
      <c r="G10" s="5">
        <v>1</v>
      </c>
      <c r="H10" s="4" t="s">
        <v>107</v>
      </c>
      <c r="I10" s="4" t="s">
        <v>108</v>
      </c>
    </row>
    <row r="11" spans="1:9" ht="27.6" x14ac:dyDescent="0.25">
      <c r="A11" s="4" t="s">
        <v>109</v>
      </c>
      <c r="B11" s="5">
        <v>2</v>
      </c>
      <c r="C11" s="5">
        <v>5</v>
      </c>
      <c r="D11" s="4" t="s">
        <v>110</v>
      </c>
      <c r="E11" s="5">
        <v>5</v>
      </c>
      <c r="F11" s="4" t="s">
        <v>110</v>
      </c>
      <c r="G11" s="5">
        <v>1</v>
      </c>
      <c r="H11" s="4" t="s">
        <v>111</v>
      </c>
      <c r="I11" s="4" t="s">
        <v>112</v>
      </c>
    </row>
    <row r="13" spans="1:9" ht="15.6" x14ac:dyDescent="0.25">
      <c r="A13" s="3" t="s">
        <v>113</v>
      </c>
      <c r="B13" s="9" t="s">
        <v>28</v>
      </c>
      <c r="C13" s="6">
        <f>SUMPRODUCT(B5:B11,C5:C11)/SUM(B5:B11)</f>
        <v>4.5909090909090908</v>
      </c>
      <c r="D13" s="9" t="s">
        <v>29</v>
      </c>
      <c r="E13" s="6">
        <f>SUMPRODUCT(B5:B11,E5:E11)/SUM(B5:B11)</f>
        <v>2.9090909090909092</v>
      </c>
      <c r="F13" s="9" t="s">
        <v>30</v>
      </c>
      <c r="G13" s="6">
        <f>SUMPRODUCT(B5:B11,G5:G11)/SUM(B5:B11)</f>
        <v>1.2727272727272727</v>
      </c>
    </row>
    <row r="15" spans="1:9" ht="42" customHeight="1" x14ac:dyDescent="0.25">
      <c r="A15" s="19" t="s">
        <v>114</v>
      </c>
      <c r="B15" s="15"/>
      <c r="C15" s="15"/>
      <c r="D15" s="15"/>
      <c r="E15" s="15"/>
      <c r="F15" s="15"/>
      <c r="G15" s="15"/>
      <c r="H15" s="15"/>
      <c r="I15" s="15"/>
    </row>
  </sheetData>
  <autoFilter ref="A4:I11" xr:uid="{00000000-0009-0000-0000-000002000000}"/>
  <mergeCells count="3">
    <mergeCell ref="A1:I1"/>
    <mergeCell ref="A2:I2"/>
    <mergeCell ref="A15:I15"/>
  </mergeCells>
  <conditionalFormatting sqref="C5:C11">
    <cfRule type="colorScale" priority="1">
      <colorScale>
        <cfvo type="num" val="1"/>
        <cfvo type="num" val="3"/>
        <cfvo type="num" val="5"/>
        <color rgb="FFF8696B"/>
        <color rgb="FFFFEB84"/>
        <color rgb="FF63BE7B"/>
      </colorScale>
    </cfRule>
  </conditionalFormatting>
  <conditionalFormatting sqref="E5:E11">
    <cfRule type="colorScale" priority="2">
      <colorScale>
        <cfvo type="num" val="1"/>
        <cfvo type="num" val="3"/>
        <cfvo type="num" val="5"/>
        <color rgb="FFF8696B"/>
        <color rgb="FFFFEB84"/>
        <color rgb="FF63BE7B"/>
      </colorScale>
    </cfRule>
  </conditionalFormatting>
  <conditionalFormatting sqref="G5:G11">
    <cfRule type="colorScale" priority="3">
      <colorScale>
        <cfvo type="num" val="1"/>
        <cfvo type="num" val="3"/>
        <cfvo type="num" val="5"/>
        <color rgb="FFF8696B"/>
        <color rgb="FFFFEB84"/>
        <color rgb="FF63BE7B"/>
      </colorScale>
    </cfRule>
  </conditionalFormatting>
  <pageMargins left="0.75" right="0.75" top="1" bottom="1" header="0.5" footer="0.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9"/>
  <sheetViews>
    <sheetView showGridLines="0" tabSelected="1" zoomScale="75" workbookViewId="0">
      <pane xSplit="2" ySplit="5" topLeftCell="C10" activePane="bottomRight" state="frozen"/>
      <selection pane="topRight"/>
      <selection pane="bottomLeft"/>
      <selection pane="bottomRight" activeCell="A17" sqref="A17:H17"/>
    </sheetView>
  </sheetViews>
  <sheetFormatPr defaultRowHeight="13.8" x14ac:dyDescent="0.25"/>
  <cols>
    <col min="1" max="1" width="33" customWidth="1"/>
    <col min="2" max="2" width="10" customWidth="1"/>
    <col min="3" max="3" width="11" customWidth="1"/>
    <col min="4" max="4" width="43" customWidth="1"/>
    <col min="5" max="5" width="11" customWidth="1"/>
    <col min="6" max="6" width="57.5" customWidth="1"/>
    <col min="7" max="7" width="11" customWidth="1"/>
    <col min="8" max="8" width="43" customWidth="1"/>
  </cols>
  <sheetData>
    <row r="1" spans="1:8" ht="31.95" customHeight="1" x14ac:dyDescent="0.25">
      <c r="A1" s="17" t="s">
        <v>115</v>
      </c>
      <c r="B1" s="15"/>
      <c r="C1" s="15"/>
      <c r="D1" s="15"/>
      <c r="E1" s="15"/>
      <c r="F1" s="15"/>
      <c r="G1" s="15"/>
      <c r="H1" s="15"/>
    </row>
    <row r="2" spans="1:8" ht="37.950000000000003" customHeight="1" x14ac:dyDescent="0.25">
      <c r="A2" s="21" t="s">
        <v>116</v>
      </c>
      <c r="B2" s="15"/>
      <c r="C2" s="15"/>
      <c r="D2" s="15"/>
      <c r="E2" s="15"/>
      <c r="F2" s="15"/>
      <c r="G2" s="15"/>
      <c r="H2" s="15"/>
    </row>
    <row r="3" spans="1:8" ht="40.049999999999997" customHeight="1" x14ac:dyDescent="0.25">
      <c r="A3" s="20" t="s">
        <v>117</v>
      </c>
      <c r="B3" s="15"/>
      <c r="C3" s="15"/>
      <c r="D3" s="15"/>
      <c r="E3" s="15"/>
      <c r="F3" s="15"/>
      <c r="G3" s="15"/>
      <c r="H3" s="15"/>
    </row>
    <row r="5" spans="1:8" ht="37.950000000000003" customHeight="1" x14ac:dyDescent="0.25">
      <c r="A5" s="7" t="s">
        <v>118</v>
      </c>
      <c r="B5" s="7" t="s">
        <v>8</v>
      </c>
      <c r="C5" s="7" t="s">
        <v>119</v>
      </c>
      <c r="D5" s="7" t="s">
        <v>120</v>
      </c>
      <c r="E5" s="7" t="s">
        <v>121</v>
      </c>
      <c r="F5" s="7" t="s">
        <v>122</v>
      </c>
      <c r="G5" s="7" t="s">
        <v>123</v>
      </c>
      <c r="H5" s="7" t="s">
        <v>124</v>
      </c>
    </row>
    <row r="6" spans="1:8" ht="61.95" customHeight="1" x14ac:dyDescent="0.25">
      <c r="A6" s="10" t="s">
        <v>125</v>
      </c>
      <c r="B6" s="11">
        <v>5</v>
      </c>
      <c r="C6" s="11">
        <v>2</v>
      </c>
      <c r="D6" s="10" t="s">
        <v>126</v>
      </c>
      <c r="E6" s="11">
        <v>4</v>
      </c>
      <c r="F6" s="10" t="s">
        <v>127</v>
      </c>
      <c r="G6" s="11">
        <v>1</v>
      </c>
      <c r="H6" s="10" t="s">
        <v>128</v>
      </c>
    </row>
    <row r="7" spans="1:8" ht="61.95" customHeight="1" x14ac:dyDescent="0.25">
      <c r="A7" s="10" t="s">
        <v>129</v>
      </c>
      <c r="B7" s="11">
        <v>5</v>
      </c>
      <c r="C7" s="11">
        <v>2</v>
      </c>
      <c r="D7" s="10" t="s">
        <v>130</v>
      </c>
      <c r="E7" s="11">
        <v>4</v>
      </c>
      <c r="F7" s="10" t="s">
        <v>131</v>
      </c>
      <c r="G7" s="11">
        <v>1</v>
      </c>
      <c r="H7" s="10" t="s">
        <v>132</v>
      </c>
    </row>
    <row r="8" spans="1:8" ht="61.95" customHeight="1" x14ac:dyDescent="0.25">
      <c r="A8" s="10" t="s">
        <v>133</v>
      </c>
      <c r="B8" s="11">
        <v>5</v>
      </c>
      <c r="C8" s="11">
        <v>3</v>
      </c>
      <c r="D8" s="10" t="s">
        <v>134</v>
      </c>
      <c r="E8" s="11">
        <v>4</v>
      </c>
      <c r="F8" s="10" t="s">
        <v>135</v>
      </c>
      <c r="G8" s="11">
        <v>1</v>
      </c>
      <c r="H8" s="10" t="s">
        <v>136</v>
      </c>
    </row>
    <row r="9" spans="1:8" ht="61.95" customHeight="1" x14ac:dyDescent="0.25">
      <c r="A9" s="10" t="s">
        <v>137</v>
      </c>
      <c r="B9" s="11">
        <v>4</v>
      </c>
      <c r="C9" s="11">
        <v>5</v>
      </c>
      <c r="D9" s="10" t="s">
        <v>138</v>
      </c>
      <c r="E9" s="11">
        <v>4</v>
      </c>
      <c r="F9" s="10" t="s">
        <v>139</v>
      </c>
      <c r="G9" s="11">
        <v>1</v>
      </c>
      <c r="H9" s="10" t="s">
        <v>140</v>
      </c>
    </row>
    <row r="10" spans="1:8" ht="61.95" customHeight="1" x14ac:dyDescent="0.25">
      <c r="A10" s="10" t="s">
        <v>141</v>
      </c>
      <c r="B10" s="11">
        <v>4</v>
      </c>
      <c r="C10" s="11">
        <v>5</v>
      </c>
      <c r="D10" s="10" t="s">
        <v>142</v>
      </c>
      <c r="E10" s="11">
        <v>3</v>
      </c>
      <c r="F10" s="10" t="s">
        <v>143</v>
      </c>
      <c r="G10" s="11">
        <v>1</v>
      </c>
      <c r="H10" s="10" t="s">
        <v>144</v>
      </c>
    </row>
    <row r="11" spans="1:8" ht="61.95" customHeight="1" x14ac:dyDescent="0.25">
      <c r="A11" s="10" t="s">
        <v>145</v>
      </c>
      <c r="B11" s="11">
        <v>3</v>
      </c>
      <c r="C11" s="11">
        <v>1</v>
      </c>
      <c r="D11" s="10" t="s">
        <v>146</v>
      </c>
      <c r="E11" s="11">
        <v>3</v>
      </c>
      <c r="F11" s="10" t="s">
        <v>147</v>
      </c>
      <c r="G11" s="11">
        <v>1</v>
      </c>
      <c r="H11" s="10" t="s">
        <v>148</v>
      </c>
    </row>
    <row r="12" spans="1:8" ht="61.95" customHeight="1" x14ac:dyDescent="0.25">
      <c r="A12" s="10" t="s">
        <v>149</v>
      </c>
      <c r="B12" s="11">
        <v>4</v>
      </c>
      <c r="C12" s="11">
        <v>4</v>
      </c>
      <c r="D12" s="10" t="s">
        <v>150</v>
      </c>
      <c r="E12" s="11">
        <v>3</v>
      </c>
      <c r="F12" s="10" t="s">
        <v>151</v>
      </c>
      <c r="G12" s="11">
        <v>1</v>
      </c>
      <c r="H12" s="10" t="s">
        <v>152</v>
      </c>
    </row>
    <row r="13" spans="1:8" ht="61.95" customHeight="1" x14ac:dyDescent="0.25">
      <c r="A13" s="10" t="s">
        <v>153</v>
      </c>
      <c r="B13" s="11">
        <v>3</v>
      </c>
      <c r="C13" s="11">
        <v>3</v>
      </c>
      <c r="D13" s="10" t="s">
        <v>154</v>
      </c>
      <c r="E13" s="11">
        <v>4</v>
      </c>
      <c r="F13" s="10" t="s">
        <v>155</v>
      </c>
      <c r="G13" s="11">
        <v>2</v>
      </c>
      <c r="H13" s="10" t="s">
        <v>156</v>
      </c>
    </row>
    <row r="15" spans="1:8" ht="28.05" customHeight="1" x14ac:dyDescent="0.25">
      <c r="A15" s="8" t="s">
        <v>113</v>
      </c>
      <c r="B15" s="12" t="s">
        <v>28</v>
      </c>
      <c r="C15" s="13">
        <f>SUMPRODUCT(B6:B13,C6:C13)/SUM(B6:B13)</f>
        <v>3.1212121212121211</v>
      </c>
      <c r="D15" s="12" t="s">
        <v>29</v>
      </c>
      <c r="E15" s="13">
        <f>SUMPRODUCT(B6:B13,E6:E13)/SUM(B6:B13)</f>
        <v>3.6666666666666665</v>
      </c>
      <c r="F15" s="12" t="s">
        <v>30</v>
      </c>
      <c r="G15" s="13">
        <f>SUMPRODUCT(B6:B13,G6:G13)/SUM(B6:B13)</f>
        <v>1.0909090909090908</v>
      </c>
      <c r="H15" s="12" t="s">
        <v>157</v>
      </c>
    </row>
    <row r="17" spans="1:8" ht="42" customHeight="1" x14ac:dyDescent="0.25">
      <c r="A17" s="23" t="s">
        <v>158</v>
      </c>
      <c r="B17" s="15"/>
      <c r="C17" s="15"/>
      <c r="D17" s="15"/>
      <c r="E17" s="15"/>
      <c r="F17" s="15"/>
      <c r="G17" s="15"/>
      <c r="H17" s="15"/>
    </row>
    <row r="19" spans="1:8" ht="34.950000000000003" customHeight="1" x14ac:dyDescent="0.25">
      <c r="A19" s="22" t="s">
        <v>159</v>
      </c>
      <c r="B19" s="15"/>
      <c r="C19" s="15"/>
      <c r="D19" s="15"/>
      <c r="E19" s="15"/>
      <c r="F19" s="15"/>
      <c r="G19" s="15"/>
      <c r="H19" s="15"/>
    </row>
  </sheetData>
  <autoFilter ref="A5:H13" xr:uid="{00000000-0009-0000-0000-000004000000}"/>
  <mergeCells count="5">
    <mergeCell ref="A3:H3"/>
    <mergeCell ref="A2:H2"/>
    <mergeCell ref="A19:H19"/>
    <mergeCell ref="A1:H1"/>
    <mergeCell ref="A17:H17"/>
  </mergeCells>
  <conditionalFormatting sqref="C6:C13">
    <cfRule type="colorScale" priority="1">
      <colorScale>
        <cfvo type="num" val="1"/>
        <cfvo type="num" val="3"/>
        <cfvo type="num" val="5"/>
        <color rgb="FFF8696B"/>
        <color rgb="FFFFEB84"/>
        <color rgb="FF63BE7B"/>
      </colorScale>
    </cfRule>
  </conditionalFormatting>
  <conditionalFormatting sqref="E6:E13">
    <cfRule type="colorScale" priority="2">
      <colorScale>
        <cfvo type="num" val="1"/>
        <cfvo type="num" val="3"/>
        <cfvo type="num" val="5"/>
        <color rgb="FFF8696B"/>
        <color rgb="FFFFEB84"/>
        <color rgb="FF63BE7B"/>
      </colorScale>
    </cfRule>
  </conditionalFormatting>
  <conditionalFormatting sqref="G6:G13">
    <cfRule type="colorScale" priority="3">
      <colorScale>
        <cfvo type="num" val="1"/>
        <cfvo type="num" val="3"/>
        <cfvo type="num" val="5"/>
        <color rgb="FFF8696B"/>
        <color rgb="FFFFEB84"/>
        <color rgb="FF63BE7B"/>
      </colorScale>
    </cfRule>
  </conditionalFormatting>
  <pageMargins left="0.25" right="0.25" top="0.4" bottom="0.4" header="0.2" footer="0.2"/>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Huong_dan</vt:lpstr>
      <vt:lpstr>So_sanh</vt:lpstr>
      <vt:lpstr>Xay_dung</vt:lpstr>
      <vt:lpstr>MEP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Khoi, Nguyen Minh</cp:lastModifiedBy>
  <dcterms:created xsi:type="dcterms:W3CDTF">2026-10-07T03:36:36Z</dcterms:created>
  <dcterms:modified xsi:type="dcterms:W3CDTF">2026-10-07T06:38:32Z</dcterms:modified>
</cp:coreProperties>
</file>